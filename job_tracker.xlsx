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hruthi/Desktop/Job application materail/"/>
    </mc:Choice>
  </mc:AlternateContent>
  <xr:revisionPtr revIDLastSave="0" documentId="13_ncr:1_{FEC4786D-3FF9-D24D-9D0E-9CD9CD6913D3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Applications" sheetId="1" r:id="rId1"/>
    <sheet name="Dashboard" sheetId="2" r:id="rId2"/>
    <sheet name="Interview Prep" sheetId="3" r:id="rId3"/>
  </sheets>
  <definedNames>
    <definedName name="_xlnm._FilterDatabase" localSheetId="0" hidden="1">Applications!$A$4:$J$1000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F10" i="2"/>
  <c r="B10" i="2"/>
  <c r="F9" i="2"/>
  <c r="B9" i="2"/>
  <c r="F8" i="2"/>
  <c r="B8" i="2"/>
  <c r="F7" i="2"/>
  <c r="B7" i="2"/>
  <c r="F6" i="2"/>
  <c r="B6" i="2"/>
  <c r="F5" i="2"/>
  <c r="B5" i="2"/>
  <c r="F4" i="2"/>
  <c r="B4" i="2"/>
  <c r="I2" i="1"/>
  <c r="E2" i="1"/>
  <c r="A2" i="1"/>
  <c r="B11" i="2" l="1"/>
  <c r="C8" i="2"/>
  <c r="C9" i="2"/>
  <c r="C5" i="2"/>
  <c r="C10" i="2"/>
  <c r="C7" i="2"/>
  <c r="C6" i="2"/>
  <c r="C4" i="2"/>
  <c r="C11" i="2" l="1"/>
</calcChain>
</file>

<file path=xl/sharedStrings.xml><?xml version="1.0" encoding="utf-8"?>
<sst xmlns="http://schemas.openxmlformats.org/spreadsheetml/2006/main" count="84" uniqueCount="59">
  <si>
    <t>🎯  JOB APPLICATION TRACKER</t>
  </si>
  <si>
    <t>#</t>
  </si>
  <si>
    <t>Company</t>
  </si>
  <si>
    <t>Job Title</t>
  </si>
  <si>
    <t>Location</t>
  </si>
  <si>
    <t>Date Applied</t>
  </si>
  <si>
    <t>Status</t>
  </si>
  <si>
    <t>Source</t>
  </si>
  <si>
    <t>Contact Name</t>
  </si>
  <si>
    <t>Contact Email</t>
  </si>
  <si>
    <t>Interviewing</t>
  </si>
  <si>
    <t>LinkedIn</t>
  </si>
  <si>
    <t>Applied</t>
  </si>
  <si>
    <t>Indeed</t>
  </si>
  <si>
    <t>Rejected</t>
  </si>
  <si>
    <t>Company Site</t>
  </si>
  <si>
    <t>Xing</t>
  </si>
  <si>
    <t>Offer Received</t>
  </si>
  <si>
    <t>Headhunter</t>
  </si>
  <si>
    <t>📊  APPLICATION DASHBOARD</t>
  </si>
  <si>
    <t>Count</t>
  </si>
  <si>
    <t>% of Total</t>
  </si>
  <si>
    <t>Withdrawn</t>
  </si>
  <si>
    <t>Ghosted</t>
  </si>
  <si>
    <t>Referral</t>
  </si>
  <si>
    <t>On Hold</t>
  </si>
  <si>
    <t>Glassdoor</t>
  </si>
  <si>
    <t>TOTAL</t>
  </si>
  <si>
    <t>Other</t>
  </si>
  <si>
    <t>📝  INTERVIEW PREPARATION NOTES</t>
  </si>
  <si>
    <t>Interview Round</t>
  </si>
  <si>
    <t>Date &amp; Time</t>
  </si>
  <si>
    <t>Interviewer(s)</t>
  </si>
  <si>
    <t>Notes / Questions to Ask</t>
  </si>
  <si>
    <t xml:space="preserve">European Graduate Programme – Product &amp; Consumer Marketing,  </t>
  </si>
  <si>
    <t>Berlin</t>
  </si>
  <si>
    <t>Sony</t>
  </si>
  <si>
    <t>NA</t>
  </si>
  <si>
    <t>https://www.linkedin.com/jobs/view/4398231395/</t>
  </si>
  <si>
    <t>P&amp;G</t>
  </si>
  <si>
    <t>Graduate Program Brand</t>
  </si>
  <si>
    <t>Frankfurt</t>
  </si>
  <si>
    <t>Junior Brand Manager Kinder Biscuits</t>
  </si>
  <si>
    <t>Ferrero</t>
  </si>
  <si>
    <t>Luxemborg</t>
  </si>
  <si>
    <t>B/S/H</t>
  </si>
  <si>
    <t>Cross Brand Marketing Manager (</t>
  </si>
  <si>
    <t>Munich</t>
  </si>
  <si>
    <t>Brand Manager</t>
  </si>
  <si>
    <t>Zooplus</t>
  </si>
  <si>
    <t>https://www.linkedin.com/jobs/view/4409291228/</t>
  </si>
  <si>
    <t>Wabtec Corporation</t>
  </si>
  <si>
    <t>Marketing specialist</t>
  </si>
  <si>
    <t>Recklinghausen,</t>
  </si>
  <si>
    <t>https://www.linkedin.com/jobs/view/4415628032/</t>
  </si>
  <si>
    <t>Kenvue</t>
  </si>
  <si>
    <t xml:space="preserve">Junior Brand Manager FemCare/Baby </t>
  </si>
  <si>
    <t>Neuss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</si>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</sst>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7F8C8D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5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FFFFFF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Helvetica Neue"/>
      <family val="2"/>
    </font>
    <font>
      <sz val="10"/>
      <color rgb="FF1F1F1F"/>
      <name val="Arial"/>
      <family val="2"/>
    </font>
    <font>
      <u/>
      <sz val="11"/>
      <color theme="10"/>
      <name val="Calibri"/>
      <family val="2"/>
      <charset val="1"/>
    </font>
    <font>
      <sz val="14"/>
      <color theme="1"/>
      <name val="Helvetica Neue"/>
      <family val="2"/>
    </font>
  </fonts>
  <fills count="15">
    <fill>
      <patternFill patternType="none"/>
    </fill>
    <fill>
      <patternFill patternType="gray125"/>
    </fill>
    <fill>
      <patternFill patternType="solid">
        <fgColor rgb="FF1E2A3A"/>
        <bgColor rgb="FF003366"/>
      </patternFill>
    </fill>
    <fill>
      <patternFill patternType="solid">
        <fgColor rgb="FFF7F9FC"/>
        <bgColor rgb="FFF0F4F8"/>
      </patternFill>
    </fill>
    <fill>
      <patternFill patternType="solid">
        <fgColor rgb="FF2D4A6E"/>
        <bgColor rgb="FF003366"/>
      </patternFill>
    </fill>
    <fill>
      <patternFill patternType="solid">
        <fgColor rgb="FFFFFFFF"/>
        <bgColor rgb="FFF7F9FC"/>
      </patternFill>
    </fill>
    <fill>
      <patternFill patternType="solid">
        <fgColor rgb="FFF0F4F8"/>
        <bgColor rgb="FFF2F3F4"/>
      </patternFill>
    </fill>
    <fill>
      <patternFill patternType="solid">
        <fgColor rgb="FFFEF9E7"/>
        <bgColor rgb="FFF7F9F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D5D8DC"/>
      </patternFill>
    </fill>
    <fill>
      <patternFill patternType="solid">
        <fgColor rgb="FFF2F3F4"/>
        <bgColor rgb="FFF0F4F8"/>
      </patternFill>
    </fill>
    <fill>
      <patternFill patternType="solid">
        <fgColor rgb="FFEAF2FF"/>
        <bgColor rgb="FFF0F4F8"/>
      </patternFill>
    </fill>
    <fill>
      <patternFill patternType="solid">
        <fgColor rgb="FFD5D8DC"/>
        <bgColor rgb="FFD6EAF8"/>
      </patternFill>
    </fill>
    <fill>
      <patternFill patternType="solid">
        <fgColor theme="1"/>
        <bgColor rgb="FF003366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3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/>
    <xf numFmtId="0" fontId="5" fillId="5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7" fillId="7" borderId="1" xfId="0" applyFont="1" applyFill="1" applyBorder="1"/>
    <xf numFmtId="0" fontId="7" fillId="7" borderId="1" xfId="0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9" borderId="1" xfId="0" applyFont="1" applyFill="1" applyBorder="1"/>
    <xf numFmtId="0" fontId="7" fillId="9" borderId="1" xfId="0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center"/>
    </xf>
    <xf numFmtId="0" fontId="7" fillId="10" borderId="1" xfId="0" applyFont="1" applyFill="1" applyBorder="1"/>
    <xf numFmtId="0" fontId="7" fillId="10" borderId="1" xfId="0" applyFont="1" applyFill="1" applyBorder="1" applyAlignment="1">
      <alignment horizontal="center"/>
    </xf>
    <xf numFmtId="164" fontId="7" fillId="10" borderId="1" xfId="0" applyNumberFormat="1" applyFont="1" applyFill="1" applyBorder="1" applyAlignment="1">
      <alignment horizont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horizontal="center"/>
    </xf>
    <xf numFmtId="164" fontId="7" fillId="11" borderId="1" xfId="0" applyNumberFormat="1" applyFont="1" applyFill="1" applyBorder="1" applyAlignment="1">
      <alignment horizontal="center"/>
    </xf>
    <xf numFmtId="0" fontId="7" fillId="12" borderId="1" xfId="0" applyFont="1" applyFill="1" applyBorder="1"/>
    <xf numFmtId="0" fontId="7" fillId="12" borderId="1" xfId="0" applyFont="1" applyFill="1" applyBorder="1" applyAlignment="1">
      <alignment horizontal="center"/>
    </xf>
    <xf numFmtId="164" fontId="7" fillId="12" borderId="1" xfId="0" applyNumberFormat="1" applyFont="1" applyFill="1" applyBorder="1" applyAlignment="1">
      <alignment horizontal="center"/>
    </xf>
    <xf numFmtId="0" fontId="8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10" fontId="8" fillId="13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2" fillId="0" borderId="0" xfId="0" applyFont="1"/>
    <xf numFmtId="16" fontId="5" fillId="6" borderId="1" xfId="0" applyNumberFormat="1" applyFont="1" applyFill="1" applyBorder="1" applyAlignment="1">
      <alignment horizontal="center" vertical="center"/>
    </xf>
    <xf numFmtId="0" fontId="13" fillId="0" borderId="0" xfId="0" applyFont="1"/>
    <xf numFmtId="16" fontId="5" fillId="5" borderId="1" xfId="0" applyNumberFormat="1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0" borderId="0" xfId="1"/>
    <xf numFmtId="0" fontId="15" fillId="0" borderId="0" xfId="0" applyFont="1"/>
    <xf numFmtId="0" fontId="1" fillId="0" borderId="0" xfId="0" applyFont="1"/>
    <xf numFmtId="16" fontId="5" fillId="5" borderId="1" xfId="0" applyNumberFormat="1" applyFont="1" applyFill="1" applyBorder="1"/>
  </cellXfs>
  <cellStyles count="2">
    <cellStyle name="Hyperlink" xfId="1" builtinId="8"/>
    <cellStyle name="Normal" xfId="0" builtinId="0"/>
  </cellStyles>
  <dxfs count="6">
    <dxf>
      <fill>
        <patternFill>
          <bgColor rgb="FFF2F3F4"/>
        </patternFill>
      </fill>
    </dxf>
    <dxf>
      <fill>
        <patternFill>
          <bgColor rgb="FFF2F3F4"/>
        </patternFill>
      </fill>
    </dxf>
    <dxf>
      <fill>
        <patternFill>
          <bgColor rgb="FFFADBD8"/>
        </patternFill>
      </fill>
    </dxf>
    <dxf>
      <fill>
        <patternFill>
          <bgColor rgb="FFFEF9E7"/>
        </patternFill>
      </fill>
    </dxf>
    <dxf>
      <fill>
        <patternFill>
          <bgColor rgb="FFD6EAF8"/>
        </patternFill>
      </fill>
    </dxf>
    <dxf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EF9E7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D5F5E3"/>
      <rgbColor rgb="FFF2F3F4"/>
      <rgbColor rgb="FFF0F4F8"/>
      <rgbColor rgb="FFF7F9F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4A6E"/>
      <rgbColor rgb="FF1E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company/wabtec-corporation/life/" TargetMode="External"/><Relationship Id="rId1" Type="http://schemas.openxmlformats.org/officeDocument/2006/relationships/hyperlink" Target="https://www.linkedin.com/jobs/view/4419024658/?trackingId=NjVHPBeLQfe1AkyHiEz20g%3D%3D&amp;alternateChannel=search&amp;isJobSearch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Normal="100" workbookViewId="0">
      <pane ySplit="4" topLeftCell="A5" activePane="bottomLeft" state="frozen"/>
      <selection pane="bottomLeft" activeCell="J4" sqref="J4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26" customWidth="1"/>
    <col min="4" max="4" width="18" customWidth="1"/>
    <col min="5" max="5" width="14" customWidth="1"/>
    <col min="6" max="6" width="18" customWidth="1"/>
    <col min="7" max="7" width="16" customWidth="1"/>
    <col min="8" max="8" width="20" customWidth="1"/>
    <col min="9" max="9" width="24" customWidth="1"/>
    <col min="10" max="10" width="30" customWidth="1"/>
  </cols>
  <sheetData>
    <row r="1" spans="1:10" ht="37.5" customHeight="1" x14ac:dyDescent="0.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1.75" customHeight="1" x14ac:dyDescent="0.2">
      <c r="A2" s="46" t="str">
        <f>COUNTA(B5:B1000)&amp;" applications tracked"</f>
        <v>7 applications tracked</v>
      </c>
      <c r="B2" s="46"/>
      <c r="C2" s="46"/>
      <c r="D2" s="46"/>
      <c r="E2" s="46" t="str">
        <f>"Active: "&amp;COUNTIF(F5:F1000,"Interviewing")&amp;" interviewing  |  "&amp;COUNTIF(F5:F1000,"Applied")&amp;" applied"</f>
        <v>Active: 0 interviewing  |  4 applied</v>
      </c>
      <c r="F2" s="46"/>
      <c r="G2" s="46"/>
      <c r="H2" s="46"/>
      <c r="I2" s="46" t="str">
        <f>"Offers: "&amp;COUNTIF(F5:F1000,"Offer Received")&amp;"  |  Rejected: "&amp;COUNTIF(F5:F1000,"Rejected")</f>
        <v>Offers: 0  |  Rejected: 3</v>
      </c>
      <c r="J2" s="46"/>
    </row>
    <row r="3" spans="1:10" ht="6" customHeight="1" x14ac:dyDescent="0.2"/>
    <row r="4" spans="1:10" ht="3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58</v>
      </c>
    </row>
    <row r="5" spans="1:10" ht="19.5" customHeight="1" x14ac:dyDescent="0.2">
      <c r="A5" s="2">
        <v>1</v>
      </c>
      <c r="B5" s="40" t="s">
        <v>36</v>
      </c>
      <c r="C5" s="41" t="s">
        <v>34</v>
      </c>
      <c r="D5" s="40" t="s">
        <v>35</v>
      </c>
      <c r="E5" s="42">
        <v>46120</v>
      </c>
      <c r="F5" s="3" t="s">
        <v>14</v>
      </c>
      <c r="G5" s="3" t="s">
        <v>11</v>
      </c>
      <c r="H5" s="39" t="s">
        <v>37</v>
      </c>
      <c r="I5" s="39" t="s">
        <v>37</v>
      </c>
      <c r="J5" s="3" t="s">
        <v>38</v>
      </c>
    </row>
    <row r="6" spans="1:10" ht="19.5" customHeight="1" x14ac:dyDescent="0.2">
      <c r="A6" s="5">
        <v>2</v>
      </c>
      <c r="B6" s="6" t="s">
        <v>39</v>
      </c>
      <c r="C6" s="7" t="s">
        <v>40</v>
      </c>
      <c r="D6" s="6" t="s">
        <v>41</v>
      </c>
      <c r="E6" s="42">
        <v>46124</v>
      </c>
      <c r="F6" s="6" t="s">
        <v>14</v>
      </c>
      <c r="G6" s="6" t="s">
        <v>11</v>
      </c>
      <c r="H6" s="6" t="s">
        <v>37</v>
      </c>
      <c r="I6" s="6" t="s">
        <v>37</v>
      </c>
      <c r="J6" s="6"/>
    </row>
    <row r="7" spans="1:10" ht="19.5" customHeight="1" x14ac:dyDescent="0.2">
      <c r="A7" s="2">
        <v>3</v>
      </c>
      <c r="B7" s="43" t="s">
        <v>42</v>
      </c>
      <c r="C7" s="4" t="s">
        <v>43</v>
      </c>
      <c r="D7" s="3" t="s">
        <v>44</v>
      </c>
      <c r="E7" s="44">
        <v>46125</v>
      </c>
      <c r="F7" s="3" t="s">
        <v>14</v>
      </c>
      <c r="G7" s="6" t="s">
        <v>11</v>
      </c>
      <c r="H7" s="6" t="s">
        <v>37</v>
      </c>
      <c r="I7" s="6" t="s">
        <v>37</v>
      </c>
      <c r="J7" s="3"/>
    </row>
    <row r="8" spans="1:10" ht="19.5" customHeight="1" x14ac:dyDescent="0.2">
      <c r="A8" s="5">
        <v>4</v>
      </c>
      <c r="B8" s="49" t="s">
        <v>46</v>
      </c>
      <c r="C8" s="7" t="s">
        <v>45</v>
      </c>
      <c r="D8" s="6" t="s">
        <v>47</v>
      </c>
      <c r="E8" s="42">
        <v>46174</v>
      </c>
      <c r="F8" s="6" t="s">
        <v>12</v>
      </c>
      <c r="G8" s="6" t="s">
        <v>11</v>
      </c>
      <c r="H8" s="6" t="s">
        <v>37</v>
      </c>
      <c r="I8" s="6" t="s">
        <v>37</v>
      </c>
      <c r="J8" s="6"/>
    </row>
    <row r="9" spans="1:10" ht="19.5" customHeight="1" x14ac:dyDescent="0.2">
      <c r="A9" s="2">
        <v>5</v>
      </c>
      <c r="B9" s="3" t="s">
        <v>48</v>
      </c>
      <c r="C9" s="4" t="s">
        <v>49</v>
      </c>
      <c r="D9" s="6" t="s">
        <v>47</v>
      </c>
      <c r="E9" s="42">
        <v>46174</v>
      </c>
      <c r="F9" s="6" t="s">
        <v>12</v>
      </c>
      <c r="G9" s="6" t="s">
        <v>11</v>
      </c>
      <c r="H9" s="3"/>
      <c r="I9" s="3"/>
      <c r="J9" s="3" t="s">
        <v>50</v>
      </c>
    </row>
    <row r="10" spans="1:10" ht="18" customHeight="1" x14ac:dyDescent="0.2">
      <c r="A10" s="8"/>
      <c r="B10" t="s">
        <v>52</v>
      </c>
      <c r="C10" s="49" t="s">
        <v>51</v>
      </c>
      <c r="D10" s="50" t="s">
        <v>53</v>
      </c>
      <c r="E10" s="42">
        <v>46174</v>
      </c>
      <c r="F10" s="8" t="s">
        <v>12</v>
      </c>
      <c r="G10" s="8" t="s">
        <v>11</v>
      </c>
      <c r="H10" s="8"/>
      <c r="I10" s="8"/>
      <c r="J10" s="8" t="s">
        <v>54</v>
      </c>
    </row>
    <row r="11" spans="1:10" ht="18" customHeight="1" x14ac:dyDescent="0.2">
      <c r="A11" s="9"/>
      <c r="B11" s="51" t="s">
        <v>55</v>
      </c>
      <c r="C11" s="51" t="s">
        <v>56</v>
      </c>
      <c r="D11" s="50" t="s">
        <v>57</v>
      </c>
      <c r="E11" s="52">
        <v>46177</v>
      </c>
      <c r="F11" s="9" t="s">
        <v>12</v>
      </c>
      <c r="G11" s="9"/>
      <c r="H11" s="9"/>
      <c r="I11" s="9"/>
      <c r="J11" s="9"/>
    </row>
    <row r="12" spans="1:10" ht="18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8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18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8" customHeight="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t="18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8" customHeight="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18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8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8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8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18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8" customHeight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8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8" customHeight="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18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8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18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8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18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8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ht="18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8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18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8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18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8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ht="18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8" customHeight="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ht="18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8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8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8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ht="18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8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ht="18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8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18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8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18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8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ht="18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8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ht="18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8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ht="18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8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ht="18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 ht="18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ht="18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18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 ht="18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 ht="18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 ht="18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 ht="18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ht="18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 ht="18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ht="18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 ht="18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 ht="18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 ht="18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ht="18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18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ht="18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 ht="18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ht="18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18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ht="18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18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ht="18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 ht="18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ht="18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ht="18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8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ht="18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ht="18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ht="18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18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8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ht="18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18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ht="18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 ht="18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18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 ht="18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ht="18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 ht="18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ht="18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 ht="18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ht="18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</row>
  </sheetData>
  <autoFilter ref="A4:J1000" xr:uid="{00000000-0009-0000-0000-000000000000}"/>
  <mergeCells count="4">
    <mergeCell ref="A1:J1"/>
    <mergeCell ref="A2:D2"/>
    <mergeCell ref="E2:H2"/>
    <mergeCell ref="I2:J2"/>
  </mergeCells>
  <conditionalFormatting sqref="F5:F1000">
    <cfRule type="expression" dxfId="5" priority="2">
      <formula>$F5="Offer Received"</formula>
    </cfRule>
    <cfRule type="expression" dxfId="4" priority="3">
      <formula>$F5="Interviewing"</formula>
    </cfRule>
    <cfRule type="expression" dxfId="3" priority="4">
      <formula>$F5="Applied"</formula>
    </cfRule>
    <cfRule type="expression" dxfId="2" priority="5">
      <formula>$F5="Rejected"</formula>
    </cfRule>
    <cfRule type="expression" dxfId="1" priority="6">
      <formula>$F5="Withdrawn"</formula>
    </cfRule>
    <cfRule type="expression" dxfId="0" priority="7">
      <formula>$F5="Ghosted"</formula>
    </cfRule>
  </conditionalFormatting>
  <dataValidations count="2">
    <dataValidation type="list" allowBlank="1" sqref="F5:F1000" xr:uid="{00000000-0002-0000-0000-000000000000}">
      <formula1>"Applied,Interviewing,Offer Received,Rejected,Withdrawn,Ghosted,On Hold"</formula1>
      <formula2>0</formula2>
    </dataValidation>
    <dataValidation type="list" allowBlank="1" sqref="G5:G1000" xr:uid="{00000000-0002-0000-0000-000001000000}">
      <formula1>"LinkedIn,Indeed,Xing,Company Site,Headhunter,Referral,Glassdoor,Other"</formula1>
      <formula2>0</formula2>
    </dataValidation>
  </dataValidations>
  <hyperlinks>
    <hyperlink ref="B8" r:id="rId1" display="https://www.linkedin.com/jobs/view/4419024658/?trackingId=NjVHPBeLQfe1AkyHiEz20g%3D%3D&amp;alternateChannel=search&amp;isJobSearch=false" xr:uid="{2E578821-8159-694B-B0EA-063FD2DF6267}"/>
    <hyperlink ref="C10" r:id="rId2" display="https://www.linkedin.com/company/wabtec-corporation/life/" xr:uid="{FE15A9A9-F286-E646-BF64-CFD0F4375A88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20" customWidth="1"/>
    <col min="2" max="2" width="10" customWidth="1"/>
    <col min="3" max="3" width="14" customWidth="1"/>
    <col min="4" max="4" width="4" customWidth="1"/>
    <col min="5" max="5" width="18" customWidth="1"/>
    <col min="6" max="6" width="10" customWidth="1"/>
  </cols>
  <sheetData>
    <row r="1" spans="1:6" ht="36" customHeight="1" x14ac:dyDescent="0.2">
      <c r="A1" s="47" t="s">
        <v>19</v>
      </c>
      <c r="B1" s="47"/>
      <c r="C1" s="47"/>
      <c r="D1" s="47"/>
      <c r="E1" s="47"/>
      <c r="F1" s="47"/>
    </row>
    <row r="3" spans="1:6" ht="24" customHeight="1" x14ac:dyDescent="0.2">
      <c r="A3" s="10" t="s">
        <v>6</v>
      </c>
      <c r="B3" s="10" t="s">
        <v>20</v>
      </c>
      <c r="C3" s="10" t="s">
        <v>21</v>
      </c>
      <c r="E3" s="11" t="s">
        <v>7</v>
      </c>
      <c r="F3" s="11" t="s">
        <v>20</v>
      </c>
    </row>
    <row r="4" spans="1:6" ht="19.5" customHeight="1" x14ac:dyDescent="0.2">
      <c r="A4" s="12" t="s">
        <v>12</v>
      </c>
      <c r="B4" s="13">
        <f>COUNTIF(Applications!F:F,"Applied")</f>
        <v>4</v>
      </c>
      <c r="C4" s="14">
        <f>IFERROR(B4/SUM(B4:B10),0)</f>
        <v>0.5714285714285714</v>
      </c>
      <c r="E4" s="15" t="s">
        <v>11</v>
      </c>
      <c r="F4" s="16">
        <f>COUNTIF(Applications!G:G,"LinkedIn")</f>
        <v>6</v>
      </c>
    </row>
    <row r="5" spans="1:6" ht="19.5" customHeight="1" x14ac:dyDescent="0.2">
      <c r="A5" s="17" t="s">
        <v>10</v>
      </c>
      <c r="B5" s="18">
        <f>COUNTIF(Applications!F:F,"Interviewing")</f>
        <v>0</v>
      </c>
      <c r="C5" s="19">
        <f>IFERROR(B5/SUM(B4:B10),0)</f>
        <v>0</v>
      </c>
      <c r="E5" s="20" t="s">
        <v>13</v>
      </c>
      <c r="F5" s="21">
        <f>COUNTIF(Applications!G:G,"Indeed")</f>
        <v>0</v>
      </c>
    </row>
    <row r="6" spans="1:6" ht="19.5" customHeight="1" x14ac:dyDescent="0.2">
      <c r="A6" s="22" t="s">
        <v>17</v>
      </c>
      <c r="B6" s="23">
        <f>COUNTIF(Applications!F:F,"Offer Received")</f>
        <v>0</v>
      </c>
      <c r="C6" s="24">
        <f>IFERROR(B6/SUM(B4:B10),0)</f>
        <v>0</v>
      </c>
      <c r="E6" s="15" t="s">
        <v>16</v>
      </c>
      <c r="F6" s="16">
        <f>COUNTIF(Applications!G:G,"Xing")</f>
        <v>0</v>
      </c>
    </row>
    <row r="7" spans="1:6" ht="19.5" customHeight="1" x14ac:dyDescent="0.2">
      <c r="A7" s="25" t="s">
        <v>14</v>
      </c>
      <c r="B7" s="26">
        <f>COUNTIF(Applications!F:F,"Rejected")</f>
        <v>3</v>
      </c>
      <c r="C7" s="27">
        <f>IFERROR(B7/SUM(B4:B10),0)</f>
        <v>0.42857142857142855</v>
      </c>
      <c r="E7" s="20" t="s">
        <v>15</v>
      </c>
      <c r="F7" s="21">
        <f>COUNTIF(Applications!G:G,"Company Site")</f>
        <v>0</v>
      </c>
    </row>
    <row r="8" spans="1:6" ht="19.5" customHeight="1" x14ac:dyDescent="0.2">
      <c r="A8" s="28" t="s">
        <v>22</v>
      </c>
      <c r="B8" s="29">
        <f>COUNTIF(Applications!F:F,"Withdrawn")</f>
        <v>0</v>
      </c>
      <c r="C8" s="30">
        <f>IFERROR(B8/SUM(B4:B10),0)</f>
        <v>0</v>
      </c>
      <c r="E8" s="15" t="s">
        <v>18</v>
      </c>
      <c r="F8" s="16">
        <f>COUNTIF(Applications!G:G,"Headhunter")</f>
        <v>0</v>
      </c>
    </row>
    <row r="9" spans="1:6" ht="19.5" customHeight="1" x14ac:dyDescent="0.2">
      <c r="A9" s="28" t="s">
        <v>23</v>
      </c>
      <c r="B9" s="29">
        <f>COUNTIF(Applications!F:F,"Ghosted")</f>
        <v>0</v>
      </c>
      <c r="C9" s="30">
        <f>IFERROR(B9/SUM(B4:B10),0)</f>
        <v>0</v>
      </c>
      <c r="E9" s="20" t="s">
        <v>24</v>
      </c>
      <c r="F9" s="21">
        <f>COUNTIF(Applications!G:G,"Referral")</f>
        <v>0</v>
      </c>
    </row>
    <row r="10" spans="1:6" ht="19.5" customHeight="1" x14ac:dyDescent="0.2">
      <c r="A10" s="31" t="s">
        <v>25</v>
      </c>
      <c r="B10" s="32">
        <f>COUNTIF(Applications!F:F,"On Hold")</f>
        <v>0</v>
      </c>
      <c r="C10" s="33">
        <f>IFERROR(B10/SUM(B4:B10),0)</f>
        <v>0</v>
      </c>
      <c r="E10" s="15" t="s">
        <v>26</v>
      </c>
      <c r="F10" s="16">
        <f>COUNTIF(Applications!G:G,"Glassdoor")</f>
        <v>0</v>
      </c>
    </row>
    <row r="11" spans="1:6" ht="19.5" customHeight="1" x14ac:dyDescent="0.2">
      <c r="A11" s="34" t="s">
        <v>27</v>
      </c>
      <c r="B11" s="35">
        <f>SUM(B4:B10)</f>
        <v>7</v>
      </c>
      <c r="C11" s="36">
        <f>IFERROR(C4+C5+C6+C7+C8+C9+C10,"")</f>
        <v>1</v>
      </c>
      <c r="E11" s="20" t="s">
        <v>28</v>
      </c>
      <c r="F11" s="21">
        <f>COUNTIF(Applications!G:G,"Other")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zoomScaleNormal="100" workbookViewId="0">
      <pane ySplit="3" topLeftCell="A4" activePane="bottomLeft" state="frozen"/>
      <selection pane="bottomLeft" sqref="A1:E1"/>
    </sheetView>
  </sheetViews>
  <sheetFormatPr baseColWidth="10" defaultColWidth="8.6640625" defaultRowHeight="15" x14ac:dyDescent="0.2"/>
  <cols>
    <col min="1" max="1" width="22" customWidth="1"/>
    <col min="2" max="3" width="18" customWidth="1"/>
    <col min="4" max="4" width="22" customWidth="1"/>
    <col min="5" max="5" width="50" customWidth="1"/>
  </cols>
  <sheetData>
    <row r="1" spans="1:5" ht="33.75" customHeight="1" x14ac:dyDescent="0.2">
      <c r="A1" s="48" t="s">
        <v>29</v>
      </c>
      <c r="B1" s="48"/>
      <c r="C1" s="48"/>
      <c r="D1" s="48"/>
      <c r="E1" s="48"/>
    </row>
    <row r="3" spans="1:5" ht="25.5" customHeight="1" x14ac:dyDescent="0.2">
      <c r="A3" s="10" t="s">
        <v>2</v>
      </c>
      <c r="B3" s="10" t="s">
        <v>30</v>
      </c>
      <c r="C3" s="10" t="s">
        <v>31</v>
      </c>
      <c r="D3" s="10" t="s">
        <v>32</v>
      </c>
      <c r="E3" s="10" t="s">
        <v>33</v>
      </c>
    </row>
    <row r="4" spans="1:5" ht="30" customHeight="1" x14ac:dyDescent="0.2">
      <c r="A4" s="8"/>
      <c r="B4" s="8"/>
      <c r="C4" s="8"/>
      <c r="D4" s="8"/>
      <c r="E4" s="37"/>
    </row>
    <row r="5" spans="1:5" ht="30" customHeight="1" x14ac:dyDescent="0.2">
      <c r="A5" s="9"/>
      <c r="B5" s="9"/>
      <c r="C5" s="9"/>
      <c r="D5" s="9"/>
      <c r="E5" s="38"/>
    </row>
    <row r="6" spans="1:5" ht="30" customHeight="1" x14ac:dyDescent="0.2">
      <c r="A6" s="8"/>
      <c r="B6" s="8"/>
      <c r="C6" s="8"/>
      <c r="D6" s="8"/>
      <c r="E6" s="37"/>
    </row>
    <row r="7" spans="1:5" ht="30" customHeight="1" x14ac:dyDescent="0.2">
      <c r="A7" s="9"/>
      <c r="B7" s="9"/>
      <c r="C7" s="9"/>
      <c r="D7" s="9"/>
      <c r="E7" s="38"/>
    </row>
    <row r="8" spans="1:5" ht="30" customHeight="1" x14ac:dyDescent="0.2">
      <c r="A8" s="8"/>
      <c r="B8" s="8"/>
      <c r="C8" s="8"/>
      <c r="D8" s="8"/>
      <c r="E8" s="37"/>
    </row>
    <row r="9" spans="1:5" ht="30" customHeight="1" x14ac:dyDescent="0.2">
      <c r="A9" s="9"/>
      <c r="B9" s="9"/>
      <c r="C9" s="9"/>
      <c r="D9" s="9"/>
      <c r="E9" s="38"/>
    </row>
    <row r="10" spans="1:5" ht="30" customHeight="1" x14ac:dyDescent="0.2">
      <c r="A10" s="8"/>
      <c r="B10" s="8"/>
      <c r="C10" s="8"/>
      <c r="D10" s="8"/>
      <c r="E10" s="37"/>
    </row>
    <row r="11" spans="1:5" ht="30" customHeight="1" x14ac:dyDescent="0.2">
      <c r="A11" s="9"/>
      <c r="B11" s="9"/>
      <c r="C11" s="9"/>
      <c r="D11" s="9"/>
      <c r="E11" s="38"/>
    </row>
    <row r="12" spans="1:5" ht="30" customHeight="1" x14ac:dyDescent="0.2">
      <c r="A12" s="8"/>
      <c r="B12" s="8"/>
      <c r="C12" s="8"/>
      <c r="D12" s="8"/>
      <c r="E12" s="37"/>
    </row>
    <row r="13" spans="1:5" ht="30" customHeight="1" x14ac:dyDescent="0.2">
      <c r="A13" s="9"/>
      <c r="B13" s="9"/>
      <c r="C13" s="9"/>
      <c r="D13" s="9"/>
      <c r="E13" s="38"/>
    </row>
    <row r="14" spans="1:5" ht="30" customHeight="1" x14ac:dyDescent="0.2">
      <c r="A14" s="8"/>
      <c r="B14" s="8"/>
      <c r="C14" s="8"/>
      <c r="D14" s="8"/>
      <c r="E14" s="37"/>
    </row>
    <row r="15" spans="1:5" ht="30" customHeight="1" x14ac:dyDescent="0.2">
      <c r="A15" s="9"/>
      <c r="B15" s="9"/>
      <c r="C15" s="9"/>
      <c r="D15" s="9"/>
      <c r="E15" s="38"/>
    </row>
    <row r="16" spans="1:5" ht="30" customHeight="1" x14ac:dyDescent="0.2">
      <c r="A16" s="8"/>
      <c r="B16" s="8"/>
      <c r="C16" s="8"/>
      <c r="D16" s="8"/>
      <c r="E16" s="37"/>
    </row>
    <row r="17" spans="1:5" ht="30" customHeight="1" x14ac:dyDescent="0.2">
      <c r="A17" s="9"/>
      <c r="B17" s="9"/>
      <c r="C17" s="9"/>
      <c r="D17" s="9"/>
      <c r="E17" s="38"/>
    </row>
    <row r="18" spans="1:5" ht="30" customHeight="1" x14ac:dyDescent="0.2">
      <c r="A18" s="8"/>
      <c r="B18" s="8"/>
      <c r="C18" s="8"/>
      <c r="D18" s="8"/>
      <c r="E18" s="37"/>
    </row>
    <row r="19" spans="1:5" ht="30" customHeight="1" x14ac:dyDescent="0.2">
      <c r="A19" s="9"/>
      <c r="B19" s="9"/>
      <c r="C19" s="9"/>
      <c r="D19" s="9"/>
      <c r="E19" s="38"/>
    </row>
    <row r="20" spans="1:5" ht="30" customHeight="1" x14ac:dyDescent="0.2">
      <c r="A20" s="8"/>
      <c r="B20" s="8"/>
      <c r="C20" s="8"/>
      <c r="D20" s="8"/>
      <c r="E20" s="37"/>
    </row>
    <row r="21" spans="1:5" ht="30" customHeight="1" x14ac:dyDescent="0.2">
      <c r="A21" s="9"/>
      <c r="B21" s="9"/>
      <c r="C21" s="9"/>
      <c r="D21" s="9"/>
      <c r="E21" s="38"/>
    </row>
    <row r="22" spans="1:5" ht="30" customHeight="1" x14ac:dyDescent="0.2">
      <c r="A22" s="8"/>
      <c r="B22" s="8"/>
      <c r="C22" s="8"/>
      <c r="D22" s="8"/>
      <c r="E22" s="37"/>
    </row>
    <row r="23" spans="1:5" ht="30" customHeight="1" x14ac:dyDescent="0.2">
      <c r="A23" s="9"/>
      <c r="B23" s="9"/>
      <c r="C23" s="9"/>
      <c r="D23" s="9"/>
      <c r="E23" s="38"/>
    </row>
    <row r="24" spans="1:5" ht="30" customHeight="1" x14ac:dyDescent="0.2">
      <c r="A24" s="8"/>
      <c r="B24" s="8"/>
      <c r="C24" s="8"/>
      <c r="D24" s="8"/>
      <c r="E24" s="37"/>
    </row>
    <row r="25" spans="1:5" ht="30" customHeight="1" x14ac:dyDescent="0.2">
      <c r="A25" s="9"/>
      <c r="B25" s="9"/>
      <c r="C25" s="9"/>
      <c r="D25" s="9"/>
      <c r="E25" s="38"/>
    </row>
    <row r="26" spans="1:5" ht="30" customHeight="1" x14ac:dyDescent="0.2">
      <c r="A26" s="8"/>
      <c r="B26" s="8"/>
      <c r="C26" s="8"/>
      <c r="D26" s="8"/>
      <c r="E26" s="37"/>
    </row>
    <row r="27" spans="1:5" ht="30" customHeight="1" x14ac:dyDescent="0.2">
      <c r="A27" s="9"/>
      <c r="B27" s="9"/>
      <c r="C27" s="9"/>
      <c r="D27" s="9"/>
      <c r="E27" s="38"/>
    </row>
    <row r="28" spans="1:5" ht="30" customHeight="1" x14ac:dyDescent="0.2">
      <c r="A28" s="8"/>
      <c r="B28" s="8"/>
      <c r="C28" s="8"/>
      <c r="D28" s="8"/>
      <c r="E28" s="37"/>
    </row>
    <row r="29" spans="1:5" ht="30" customHeight="1" x14ac:dyDescent="0.2">
      <c r="A29" s="9"/>
      <c r="B29" s="9"/>
      <c r="C29" s="9"/>
      <c r="D29" s="9"/>
      <c r="E29" s="38"/>
    </row>
    <row r="30" spans="1:5" ht="30" customHeight="1" x14ac:dyDescent="0.2">
      <c r="A30" s="8"/>
      <c r="B30" s="8"/>
      <c r="C30" s="8"/>
      <c r="D30" s="8"/>
      <c r="E30" s="37"/>
    </row>
    <row r="31" spans="1:5" ht="30" customHeight="1" x14ac:dyDescent="0.2">
      <c r="A31" s="9"/>
      <c r="B31" s="9"/>
      <c r="C31" s="9"/>
      <c r="D31" s="9"/>
      <c r="E31" s="38"/>
    </row>
    <row r="32" spans="1:5" ht="30" customHeight="1" x14ac:dyDescent="0.2">
      <c r="A32" s="8"/>
      <c r="B32" s="8"/>
      <c r="C32" s="8"/>
      <c r="D32" s="8"/>
      <c r="E32" s="37"/>
    </row>
    <row r="33" spans="1:5" ht="30" customHeight="1" x14ac:dyDescent="0.2">
      <c r="A33" s="9"/>
      <c r="B33" s="9"/>
      <c r="C33" s="9"/>
      <c r="D33" s="9"/>
      <c r="E33" s="38"/>
    </row>
    <row r="34" spans="1:5" ht="30" customHeight="1" x14ac:dyDescent="0.2">
      <c r="A34" s="8"/>
      <c r="B34" s="8"/>
      <c r="C34" s="8"/>
      <c r="D34" s="8"/>
      <c r="E34" s="37"/>
    </row>
    <row r="35" spans="1:5" ht="30" customHeight="1" x14ac:dyDescent="0.2">
      <c r="A35" s="9"/>
      <c r="B35" s="9"/>
      <c r="C35" s="9"/>
      <c r="D35" s="9"/>
      <c r="E35" s="38"/>
    </row>
    <row r="36" spans="1:5" ht="30" customHeight="1" x14ac:dyDescent="0.2">
      <c r="A36" s="8"/>
      <c r="B36" s="8"/>
      <c r="C36" s="8"/>
      <c r="D36" s="8"/>
      <c r="E36" s="37"/>
    </row>
    <row r="37" spans="1:5" ht="30" customHeight="1" x14ac:dyDescent="0.2">
      <c r="A37" s="9"/>
      <c r="B37" s="9"/>
      <c r="C37" s="9"/>
      <c r="D37" s="9"/>
      <c r="E37" s="38"/>
    </row>
    <row r="38" spans="1:5" ht="30" customHeight="1" x14ac:dyDescent="0.2">
      <c r="A38" s="8"/>
      <c r="B38" s="8"/>
      <c r="C38" s="8"/>
      <c r="D38" s="8"/>
      <c r="E38" s="37"/>
    </row>
    <row r="39" spans="1:5" ht="30" customHeight="1" x14ac:dyDescent="0.2">
      <c r="A39" s="9"/>
      <c r="B39" s="9"/>
      <c r="C39" s="9"/>
      <c r="D39" s="9"/>
      <c r="E39" s="38"/>
    </row>
    <row r="40" spans="1:5" ht="30" customHeight="1" x14ac:dyDescent="0.2">
      <c r="A40" s="8"/>
      <c r="B40" s="8"/>
      <c r="C40" s="8"/>
      <c r="D40" s="8"/>
      <c r="E40" s="37"/>
    </row>
    <row r="41" spans="1:5" ht="30" customHeight="1" x14ac:dyDescent="0.2">
      <c r="A41" s="9"/>
      <c r="B41" s="9"/>
      <c r="C41" s="9"/>
      <c r="D41" s="9"/>
      <c r="E41" s="38"/>
    </row>
    <row r="42" spans="1:5" ht="30" customHeight="1" x14ac:dyDescent="0.2">
      <c r="A42" s="8"/>
      <c r="B42" s="8"/>
      <c r="C42" s="8"/>
      <c r="D42" s="8"/>
      <c r="E42" s="37"/>
    </row>
    <row r="43" spans="1:5" ht="30" customHeight="1" x14ac:dyDescent="0.2">
      <c r="A43" s="9"/>
      <c r="B43" s="9"/>
      <c r="C43" s="9"/>
      <c r="D43" s="9"/>
      <c r="E43" s="38"/>
    </row>
    <row r="44" spans="1:5" ht="30" customHeight="1" x14ac:dyDescent="0.2">
      <c r="A44" s="8"/>
      <c r="B44" s="8"/>
      <c r="C44" s="8"/>
      <c r="D44" s="8"/>
      <c r="E44" s="37"/>
    </row>
    <row r="45" spans="1:5" ht="30" customHeight="1" x14ac:dyDescent="0.2">
      <c r="A45" s="9"/>
      <c r="B45" s="9"/>
      <c r="C45" s="9"/>
      <c r="D45" s="9"/>
      <c r="E45" s="38"/>
    </row>
    <row r="46" spans="1:5" ht="30" customHeight="1" x14ac:dyDescent="0.2">
      <c r="A46" s="8"/>
      <c r="B46" s="8"/>
      <c r="C46" s="8"/>
      <c r="D46" s="8"/>
      <c r="E46" s="37"/>
    </row>
    <row r="47" spans="1:5" ht="30" customHeight="1" x14ac:dyDescent="0.2">
      <c r="A47" s="9"/>
      <c r="B47" s="9"/>
      <c r="C47" s="9"/>
      <c r="D47" s="9"/>
      <c r="E47" s="38"/>
    </row>
    <row r="48" spans="1:5" ht="30" customHeight="1" x14ac:dyDescent="0.2">
      <c r="A48" s="8"/>
      <c r="B48" s="8"/>
      <c r="C48" s="8"/>
      <c r="D48" s="8"/>
      <c r="E48" s="37"/>
    </row>
    <row r="49" spans="1:5" ht="30" customHeight="1" x14ac:dyDescent="0.2">
      <c r="A49" s="9"/>
      <c r="B49" s="9"/>
      <c r="C49" s="9"/>
      <c r="D49" s="9"/>
      <c r="E49" s="38"/>
    </row>
    <row r="50" spans="1:5" ht="30" customHeight="1" x14ac:dyDescent="0.2">
      <c r="A50" s="8"/>
      <c r="B50" s="8"/>
      <c r="C50" s="8"/>
      <c r="D50" s="8"/>
      <c r="E50" s="37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Dashboard</vt:lpstr>
      <vt:lpstr>Interview 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Sankaranarayanan, Shruthi</cp:lastModifiedBy>
  <cp:revision>0</cp:revision>
  <dcterms:created xsi:type="dcterms:W3CDTF">2026-04-08T04:38:39Z</dcterms:created>
  <dcterms:modified xsi:type="dcterms:W3CDTF">2026-06-04T19:28:35Z</dcterms:modified>
  <dc:language>en-US</dc:language>
</cp:coreProperties>
</file>